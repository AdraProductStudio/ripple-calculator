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rginal" sheetId="1" state="visible" r:id="rId2"/>
    <sheet name="cop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<sst xmlns="http://schemas.openxmlformats.org/spreadsheetml/2006/main" count="208" uniqueCount="89">
  <si>
    <t xml:space="preserve">STAFF</t>
  </si>
  <si>
    <t xml:space="preserve">of staff generate/claim expenses</t>
  </si>
  <si>
    <t xml:space="preserve">LOCATIONS</t>
  </si>
  <si>
    <t xml:space="preserve">SUPPLIERS</t>
  </si>
  <si>
    <t xml:space="preserve">CUSTOMERS</t>
  </si>
  <si>
    <t xml:space="preserve">of customer demand data</t>
  </si>
  <si>
    <t xml:space="preserve">VEHICLES</t>
  </si>
  <si>
    <t xml:space="preserve">of vehicles used for customer transport</t>
  </si>
  <si>
    <t xml:space="preserve">POLICIES/yr</t>
  </si>
  <si>
    <t xml:space="preserve">Invoices/Utility Bills/ fuel records per month</t>
  </si>
  <si>
    <t xml:space="preserve">Investor requests/quarter</t>
  </si>
  <si>
    <t xml:space="preserve">RFP/RFQ requests per quarter</t>
  </si>
  <si>
    <t xml:space="preserve">Compliance/Quality qu/Quarter</t>
  </si>
  <si>
    <t xml:space="preserve">BLOGS/Mnth</t>
  </si>
  <si>
    <t xml:space="preserve">POWER GEN UNITS</t>
  </si>
  <si>
    <t xml:space="preserve">solar/wind/Incinerator</t>
  </si>
  <si>
    <t xml:space="preserve">Average FTE Salary</t>
  </si>
  <si>
    <t xml:space="preserve">hrs in a day</t>
  </si>
  <si>
    <t xml:space="preserve">days in an FTE year</t>
  </si>
  <si>
    <t xml:space="preserve">SCOPE</t>
  </si>
  <si>
    <t xml:space="preserve">LEVER</t>
  </si>
  <si>
    <t xml:space="preserve">NUMBERS</t>
  </si>
  <si>
    <t xml:space="preserve">ACTIVITY/EFFORT (MANUAL)</t>
  </si>
  <si>
    <t xml:space="preserve">MANUAL  (hr)</t>
  </si>
  <si>
    <t xml:space="preserve">Manual Days</t>
  </si>
  <si>
    <t xml:space="preserve">RIPPLE EFFORT</t>
  </si>
  <si>
    <t xml:space="preserve">RIPPLE  (hr)</t>
  </si>
  <si>
    <t xml:space="preserve">Ripple Days</t>
  </si>
  <si>
    <r>
      <rPr>
        <b val="true"/>
        <sz val="11"/>
        <color rgb="FF000000"/>
        <rFont val="Aptos Narrow"/>
        <family val="2"/>
        <charset val="1"/>
      </rPr>
      <t xml:space="preserve">STAFF</t>
    </r>
    <r>
      <rPr>
        <sz val="11"/>
        <color rgb="FF000000"/>
        <rFont val="Aptos Narrow"/>
        <family val="2"/>
        <charset val="1"/>
      </rPr>
      <t xml:space="preserve"> (business travel and hotels</t>
    </r>
  </si>
  <si>
    <t xml:space="preserve">5 mins  processing expenses per staff per month </t>
  </si>
  <si>
    <t xml:space="preserve">3mins</t>
  </si>
  <si>
    <r>
      <rPr>
        <b val="true"/>
        <sz val="11"/>
        <color rgb="FF000000"/>
        <rFont val="Aptos Narrow"/>
        <family val="2"/>
        <charset val="1"/>
      </rPr>
      <t xml:space="preserve">STAFF</t>
    </r>
    <r>
      <rPr>
        <sz val="11"/>
        <color rgb="FF000000"/>
        <rFont val="Aptos Narrow"/>
        <family val="2"/>
        <charset val="1"/>
      </rPr>
      <t xml:space="preserve"> (data mangagement)</t>
    </r>
  </si>
  <si>
    <t xml:space="preserve">5 mins  loading into spreadsheets or SharePoint </t>
  </si>
  <si>
    <t xml:space="preserve">0mins</t>
  </si>
  <si>
    <r>
      <rPr>
        <b val="true"/>
        <sz val="11"/>
        <color rgb="FF000000"/>
        <rFont val="Aptos Narrow"/>
        <family val="2"/>
        <charset val="1"/>
      </rPr>
      <t xml:space="preserve">STAFF</t>
    </r>
    <r>
      <rPr>
        <sz val="11"/>
        <color rgb="FF000000"/>
        <rFont val="Aptos Narrow"/>
        <family val="2"/>
        <charset val="1"/>
      </rPr>
      <t xml:space="preserve"> (commute and WFH)</t>
    </r>
  </si>
  <si>
    <t xml:space="preserve">5 mins commute data calculation per quarter </t>
  </si>
  <si>
    <t xml:space="preserve">5 mins</t>
  </si>
  <si>
    <t xml:space="preserve">Create separate reports on each location - For various needs (4hr)</t>
  </si>
  <si>
    <t xml:space="preserve">5mins</t>
  </si>
  <si>
    <t xml:space="preserve">reporting flexibility </t>
  </si>
  <si>
    <t xml:space="preserve">Apply emissions factors per location, identifying water stress and sensitive biodiversity status (4hrs)</t>
  </si>
  <si>
    <t xml:space="preserve">?</t>
  </si>
  <si>
    <t xml:space="preserve">1,2 &amp;3</t>
  </si>
  <si>
    <r>
      <rPr>
        <b val="true"/>
        <sz val="11"/>
        <color rgb="FF000000"/>
        <rFont val="Aptos Narrow"/>
        <family val="2"/>
        <charset val="1"/>
      </rPr>
      <t xml:space="preserve">SUPPLIERS</t>
    </r>
    <r>
      <rPr>
        <sz val="11"/>
        <color rgb="FF000000"/>
        <rFont val="Aptos Narrow"/>
        <family val="2"/>
        <charset val="1"/>
      </rPr>
      <t xml:space="preserve"> Chasing Suppliers for info</t>
    </r>
  </si>
  <si>
    <t xml:space="preserve">Requesting and chasing sustainability data from suppliers (15 mins per supplier per year)</t>
  </si>
  <si>
    <t xml:space="preserve">gneral chasing</t>
  </si>
  <si>
    <r>
      <rPr>
        <b val="true"/>
        <sz val="11"/>
        <color rgb="FF000000"/>
        <rFont val="Aptos Narrow"/>
        <family val="2"/>
        <charset val="1"/>
      </rPr>
      <t xml:space="preserve">SUPPLIERS</t>
    </r>
    <r>
      <rPr>
        <sz val="11"/>
        <color rgb="FF000000"/>
        <rFont val="Aptos Narrow"/>
        <family val="2"/>
        <charset val="1"/>
      </rPr>
      <t xml:space="preserve"> (invocies - products/transport/waste)</t>
    </r>
  </si>
  <si>
    <t xml:space="preserve">Processing emails and/or documents for product invoice level data, extracting data and/or documents and calculating emissions (5 mins per invoice/utility bill/ fuel record  per supplier per annum) Assumed 1 invoice per supplier per month average </t>
  </si>
  <si>
    <t xml:space="preserve">4hrs per supplier to manage product / invoices</t>
  </si>
  <si>
    <r>
      <rPr>
        <b val="true"/>
        <sz val="11"/>
        <color rgb="FF000000"/>
        <rFont val="Aptos Narrow"/>
        <family val="2"/>
        <charset val="1"/>
      </rPr>
      <t xml:space="preserve">SUPPLIERS</t>
    </r>
    <r>
      <rPr>
        <sz val="11"/>
        <color rgb="FF000000"/>
        <rFont val="Aptos Narrow"/>
        <family val="2"/>
        <charset val="1"/>
      </rPr>
      <t xml:space="preserve"> answering  (compliance - insurance, FORS, SEPA, ISO, Etc)</t>
    </r>
  </si>
  <si>
    <t xml:space="preserve">Processing emails for safety/Insurance/quality/ISO certification data (~20 docs) (1/2hrs per supplier per year) </t>
  </si>
  <si>
    <t xml:space="preserve">4hrs per supplier to manage compliance</t>
  </si>
  <si>
    <r>
      <rPr>
        <b val="true"/>
        <sz val="11"/>
        <color rgb="FF000000"/>
        <rFont val="Aptos Narrow"/>
        <family val="2"/>
        <charset val="1"/>
      </rPr>
      <t xml:space="preserve">SUPPLIERS</t>
    </r>
    <r>
      <rPr>
        <sz val="11"/>
        <color rgb="FF000000"/>
        <rFont val="Aptos Narrow"/>
        <family val="2"/>
        <charset val="1"/>
      </rPr>
      <t xml:space="preserve">  requesting (compliance - insurance, FORS, SEPA, ISO, Etc)</t>
    </r>
  </si>
  <si>
    <t xml:space="preserve">Requesting emails for safety/Insurance/quality/ISO certification data (~30 docs) (1/2hr per supplier per year) </t>
  </si>
  <si>
    <t xml:space="preserve">RFP/RFQs  responding to RFP/RFQ for carbon data</t>
  </si>
  <si>
    <t xml:space="preserve">responding to procurement emails asking for sustianability data as part of RFP/RFQ - av 3 pr month taking 3 days </t>
  </si>
  <si>
    <t xml:space="preserve">Vehicles</t>
  </si>
  <si>
    <t xml:space="preserve">processing fuel or mileage of owned fleet, calculating emissions and storing centrally (av 5 per month)</t>
  </si>
  <si>
    <t xml:space="preserve">processing data from/for suppliers for delivery data (scope 3 cat 4) 1hr per month per vehicle</t>
  </si>
  <si>
    <t xml:space="preserve">Data requests from customers for GHG Protocl data or questionnaires such as CDP (4hrs per customer per year)</t>
  </si>
  <si>
    <t xml:space="preserve">1 hour to produce a report</t>
  </si>
  <si>
    <t xml:space="preserve">Requests for compliance data -  insurance/quality/ISO/ etc (4hrs per customer per year)</t>
  </si>
  <si>
    <t xml:space="preserve">1/2 to respond 75% of customers want data</t>
  </si>
  <si>
    <t xml:space="preserve">Energy Rebate Invoices </t>
  </si>
  <si>
    <t xml:space="preserve">10 invoices per power generation sources (1 hr per invoice per month) </t>
  </si>
  <si>
    <t xml:space="preserve">Reg reports per year</t>
  </si>
  <si>
    <t xml:space="preserve">Creating regulatory reports (Materiality/SECR/ESOS/LCA) 2 weeks per report</t>
  </si>
  <si>
    <t xml:space="preserve">INVESTORS data requests</t>
  </si>
  <si>
    <t xml:space="preserve">Handling emails and 2 days to create reports per quarter </t>
  </si>
  <si>
    <t xml:space="preserve">lenders SBTI/KPI/Rpt</t>
  </si>
  <si>
    <t xml:space="preserve">Reporting on data and KPIs for Lenders.  4 days per quarter for handling emails and to creating reports </t>
  </si>
  <si>
    <t xml:space="preserve">Insurer KPIs</t>
  </si>
  <si>
    <t xml:space="preserve">Reporting on data and KPIs for insurers -  4 days per quarter for handling emails and to creating reports </t>
  </si>
  <si>
    <t xml:space="preserve">Policy creation</t>
  </si>
  <si>
    <t xml:space="preserve">4 per year (4 hrs each)</t>
  </si>
  <si>
    <t xml:space="preserve">Promotional Blogs</t>
  </si>
  <si>
    <t xml:space="preserve">1 per month (3 hrs per blog)</t>
  </si>
  <si>
    <t xml:space="preserve">gerneric reports</t>
  </si>
  <si>
    <t xml:space="preserve">slicing and dicing the data for various reasons 5 per month</t>
  </si>
  <si>
    <t xml:space="preserve">hrs</t>
  </si>
  <si>
    <t xml:space="preserve">days</t>
  </si>
  <si>
    <t xml:space="preserve">TOTALS</t>
  </si>
  <si>
    <t xml:space="preserve">FTEs</t>
  </si>
  <si>
    <t xml:space="preserve">Annual staff Costs</t>
  </si>
  <si>
    <t xml:space="preserve">SAVINGS</t>
  </si>
  <si>
    <t xml:space="preserve">opportunities</t>
  </si>
  <si>
    <t xml:space="preserve">risks</t>
  </si>
  <si>
    <t xml:space="preserve">time</t>
  </si>
  <si>
    <t xml:space="preserve">costs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</si>
</sst>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\£#,##0.0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17" activeCellId="0" sqref="H17"/>
    </sheetView>
  </sheetViews>
  <sheetFormatPr defaultColWidth="8.54296875" defaultRowHeight="14.25" zeroHeight="false" outlineLevelRow="0" outlineLevelCol="0"/>
  <cols>
    <col collapsed="false" customWidth="true" hidden="false" outlineLevel="0" max="2" min="2" style="0" width="27"/>
    <col collapsed="false" customWidth="true" hidden="false" outlineLevel="0" max="3" min="3" style="0" width="12.45"/>
    <col collapsed="false" customWidth="true" hidden="false" outlineLevel="0" max="4" min="4" style="0" width="18.28"/>
    <col collapsed="false" customWidth="true" hidden="false" outlineLevel="0" max="5" min="5" style="0" width="28.54"/>
    <col collapsed="false" customWidth="true" hidden="false" outlineLevel="0" max="6" min="6" style="0" width="15.45"/>
    <col collapsed="false" customWidth="true" hidden="false" outlineLevel="0" max="7" min="7" style="0" width="19.18"/>
    <col collapsed="false" customWidth="true" hidden="false" outlineLevel="0" max="8" min="8" style="0" width="12.82"/>
    <col collapsed="false" customWidth="true" hidden="false" outlineLevel="0" max="9" min="9" style="0" width="14.72"/>
    <col collapsed="false" customWidth="true" hidden="false" outlineLevel="0" max="10" min="10" style="0" width="21"/>
    <col collapsed="false" customWidth="true" hidden="false" outlineLevel="0" max="11" min="11" style="0" width="16.54"/>
  </cols>
  <sheetData>
    <row r="1" customFormat="false" ht="15" hidden="false" customHeight="false" outlineLevel="0" collapsed="false"/>
    <row r="2" customFormat="false" ht="13.8" hidden="false" customHeight="false" outlineLevel="0" collapsed="false">
      <c r="B2" s="1" t="s">
        <v>0</v>
      </c>
      <c r="C2" s="2" t="n">
        <v>5000</v>
      </c>
      <c r="D2" s="3" t="n">
        <v>0.6</v>
      </c>
      <c r="E2" s="0" t="s">
        <v>1</v>
      </c>
    </row>
    <row r="3" customFormat="false" ht="13.8" hidden="false" customHeight="false" outlineLevel="0" collapsed="false">
      <c r="B3" s="4" t="s">
        <v>2</v>
      </c>
      <c r="C3" s="5" t="n">
        <v>20</v>
      </c>
      <c r="D3" s="6"/>
    </row>
    <row r="4" customFormat="false" ht="13.8" hidden="false" customHeight="false" outlineLevel="0" collapsed="false">
      <c r="B4" s="4" t="s">
        <v>3</v>
      </c>
      <c r="C4" s="5" t="n">
        <v>1000</v>
      </c>
      <c r="D4" s="6"/>
    </row>
    <row r="5" customFormat="false" ht="13.8" hidden="false" customHeight="false" outlineLevel="0" collapsed="false">
      <c r="B5" s="4" t="s">
        <v>4</v>
      </c>
      <c r="C5" s="5" t="n">
        <v>500</v>
      </c>
      <c r="D5" s="7" t="n">
        <v>0.75</v>
      </c>
      <c r="E5" s="0" t="s">
        <v>5</v>
      </c>
    </row>
    <row r="6" customFormat="false" ht="14.25" hidden="false" customHeight="false" outlineLevel="0" collapsed="false">
      <c r="B6" s="8" t="s">
        <v>6</v>
      </c>
      <c r="C6" s="9" t="n">
        <v>50</v>
      </c>
      <c r="D6" s="7" t="n">
        <v>0.5</v>
      </c>
      <c r="E6" s="0" t="s">
        <v>7</v>
      </c>
    </row>
    <row r="7" customFormat="false" ht="14.25" hidden="false" customHeight="false" outlineLevel="0" collapsed="false">
      <c r="B7" s="8" t="s">
        <v>8</v>
      </c>
      <c r="C7" s="9" t="n">
        <v>4</v>
      </c>
      <c r="D7" s="7"/>
    </row>
    <row r="8" customFormat="false" ht="14.25" hidden="false" customHeight="false" outlineLevel="0" collapsed="false">
      <c r="B8" s="8" t="s">
        <v>9</v>
      </c>
      <c r="C8" s="9" t="n">
        <v>100</v>
      </c>
      <c r="D8" s="7"/>
    </row>
    <row r="9" customFormat="false" ht="14.25" hidden="false" customHeight="false" outlineLevel="0" collapsed="false">
      <c r="B9" s="8" t="s">
        <v>10</v>
      </c>
      <c r="C9" s="9" t="n">
        <v>2</v>
      </c>
      <c r="D9" s="7"/>
    </row>
    <row r="10" customFormat="false" ht="14.25" hidden="false" customHeight="false" outlineLevel="0" collapsed="false">
      <c r="B10" s="8"/>
      <c r="C10" s="9"/>
      <c r="D10" s="7"/>
    </row>
    <row r="11" customFormat="false" ht="14.25" hidden="false" customHeight="false" outlineLevel="0" collapsed="false">
      <c r="B11" s="8" t="s">
        <v>11</v>
      </c>
      <c r="C11" s="9" t="n">
        <v>2</v>
      </c>
      <c r="D11" s="7"/>
    </row>
    <row r="12" customFormat="false" ht="14.25" hidden="false" customHeight="false" outlineLevel="0" collapsed="false">
      <c r="B12" s="8" t="s">
        <v>12</v>
      </c>
      <c r="C12" s="9" t="n">
        <v>2</v>
      </c>
      <c r="D12" s="7"/>
    </row>
    <row r="13" customFormat="false" ht="14.25" hidden="false" customHeight="false" outlineLevel="0" collapsed="false">
      <c r="B13" s="8" t="s">
        <v>13</v>
      </c>
      <c r="C13" s="9" t="n">
        <v>1</v>
      </c>
      <c r="D13" s="7"/>
    </row>
    <row r="14" customFormat="false" ht="14.25" hidden="false" customHeight="false" outlineLevel="0" collapsed="false">
      <c r="B14" s="8" t="s">
        <v>14</v>
      </c>
      <c r="C14" s="9" t="n">
        <v>2</v>
      </c>
      <c r="D14" s="7"/>
      <c r="E14" s="0" t="s">
        <v>15</v>
      </c>
    </row>
    <row r="15" customFormat="false" ht="14.25" hidden="false" customHeight="false" outlineLevel="0" collapsed="false">
      <c r="B15" s="8" t="s">
        <v>16</v>
      </c>
      <c r="C15" s="9" t="n">
        <v>50000</v>
      </c>
      <c r="D15" s="7"/>
    </row>
    <row r="16" customFormat="false" ht="14.25" hidden="false" customHeight="false" outlineLevel="0" collapsed="false">
      <c r="B16" s="8" t="s">
        <v>17</v>
      </c>
      <c r="C16" s="9" t="n">
        <v>8</v>
      </c>
      <c r="D16" s="6"/>
    </row>
    <row r="17" customFormat="false" ht="15" hidden="false" customHeight="false" outlineLevel="0" collapsed="false">
      <c r="B17" s="10" t="s">
        <v>18</v>
      </c>
      <c r="C17" s="11" t="n">
        <v>220</v>
      </c>
      <c r="D17" s="12"/>
    </row>
    <row r="18" customFormat="false" ht="14.25" hidden="false" customHeight="false" outlineLevel="0" collapsed="false">
      <c r="D18" s="13"/>
    </row>
    <row r="21" customFormat="false" ht="13.8" hidden="false" customHeight="false" outlineLevel="0" collapsed="false">
      <c r="A21" s="14" t="s">
        <v>19</v>
      </c>
      <c r="B21" s="14" t="s">
        <v>20</v>
      </c>
      <c r="C21" s="14" t="s">
        <v>21</v>
      </c>
      <c r="D21" s="14" t="s">
        <v>22</v>
      </c>
      <c r="E21" s="14"/>
      <c r="F21" s="14"/>
      <c r="G21" s="15" t="s">
        <v>23</v>
      </c>
      <c r="H21" s="15" t="s">
        <v>24</v>
      </c>
      <c r="I21" s="14" t="s">
        <v>25</v>
      </c>
      <c r="J21" s="15" t="s">
        <v>26</v>
      </c>
      <c r="K21" s="15" t="s">
        <v>27</v>
      </c>
    </row>
    <row r="22" customFormat="false" ht="13.8" hidden="false" customHeight="false" outlineLevel="0" collapsed="false">
      <c r="A22" s="0" t="n">
        <v>3</v>
      </c>
      <c r="B22" s="16" t="s">
        <v>28</v>
      </c>
      <c r="C22" s="17" t="n">
        <f aca="false">$C$2*D2</f>
        <v>3000</v>
      </c>
      <c r="D22" s="0" t="s">
        <v>29</v>
      </c>
      <c r="G22" s="13" t="n">
        <f aca="false">0.25*C22*12</f>
        <v>9000</v>
      </c>
      <c r="H22" s="13" t="n">
        <f aca="false">ROUNDDOWN(G22/$C$16,-2)</f>
        <v>1100</v>
      </c>
      <c r="I22" s="15" t="s">
        <v>30</v>
      </c>
      <c r="J22" s="13" t="n">
        <f aca="false">0.05*C22*12</f>
        <v>1800</v>
      </c>
      <c r="K22" s="0" t="n">
        <f aca="false">J22/$C$16</f>
        <v>225</v>
      </c>
    </row>
    <row r="23" customFormat="false" ht="13.8" hidden="false" customHeight="false" outlineLevel="0" collapsed="false">
      <c r="A23" s="0" t="n">
        <v>3</v>
      </c>
      <c r="B23" s="16" t="s">
        <v>31</v>
      </c>
      <c r="C23" s="17" t="n">
        <f aca="false">$C$2*D2</f>
        <v>3000</v>
      </c>
      <c r="D23" s="0" t="s">
        <v>32</v>
      </c>
      <c r="G23" s="13" t="n">
        <f aca="false">0.08*C23*12</f>
        <v>2880</v>
      </c>
      <c r="H23" s="13" t="n">
        <f aca="false">ROUNDDOWN(G23/$C$16,-2)</f>
        <v>300</v>
      </c>
      <c r="I23" s="13" t="s">
        <v>33</v>
      </c>
      <c r="J23" s="13"/>
      <c r="K23" s="0" t="n">
        <f aca="false">J23/$C$16</f>
        <v>0</v>
      </c>
    </row>
    <row r="24" customFormat="false" ht="13.8" hidden="false" customHeight="false" outlineLevel="0" collapsed="false">
      <c r="A24" s="0" t="n">
        <v>3</v>
      </c>
      <c r="B24" s="16" t="s">
        <v>34</v>
      </c>
      <c r="C24" s="17" t="n">
        <f aca="false">$C$2</f>
        <v>5000</v>
      </c>
      <c r="D24" s="0" t="s">
        <v>35</v>
      </c>
      <c r="G24" s="13" t="n">
        <f aca="false">0.25*C24*4</f>
        <v>5000</v>
      </c>
      <c r="H24" s="13" t="n">
        <f aca="false">ROUNDDOWN(G24/$C$16,-2)</f>
        <v>600</v>
      </c>
      <c r="I24" s="13" t="s">
        <v>36</v>
      </c>
      <c r="J24" s="13" t="n">
        <f aca="false">0.08*C24*4</f>
        <v>1600</v>
      </c>
      <c r="K24" s="0" t="n">
        <f aca="false">J24/$C$16</f>
        <v>200</v>
      </c>
    </row>
    <row r="25" customFormat="false" ht="13.8" hidden="false" customHeight="false" outlineLevel="0" collapsed="false">
      <c r="B25" s="16" t="s">
        <v>2</v>
      </c>
      <c r="C25" s="17" t="n">
        <f aca="false">$C$3</f>
        <v>20</v>
      </c>
      <c r="D25" s="0" t="s">
        <v>37</v>
      </c>
      <c r="G25" s="13" t="n">
        <f aca="false">4*C25</f>
        <v>80</v>
      </c>
      <c r="H25" s="13" t="n">
        <f aca="false">G25/$C$16</f>
        <v>10</v>
      </c>
      <c r="I25" s="13" t="s">
        <v>38</v>
      </c>
      <c r="J25" s="13" t="n">
        <f aca="false">0.08*C25</f>
        <v>1.6</v>
      </c>
      <c r="K25" s="0" t="n">
        <f aca="false">J25/$C$16</f>
        <v>0.2</v>
      </c>
      <c r="M25" s="0" t="s">
        <v>39</v>
      </c>
    </row>
    <row r="26" customFormat="false" ht="13.8" hidden="false" customHeight="false" outlineLevel="0" collapsed="false">
      <c r="B26" s="16" t="s">
        <v>2</v>
      </c>
      <c r="C26" s="17" t="n">
        <f aca="false">$C$3</f>
        <v>20</v>
      </c>
      <c r="D26" s="0" t="s">
        <v>40</v>
      </c>
      <c r="G26" s="13" t="n">
        <f aca="false">4*C26</f>
        <v>80</v>
      </c>
      <c r="H26" s="13" t="n">
        <f aca="false">G26/$C$16</f>
        <v>10</v>
      </c>
      <c r="I26" s="13" t="s">
        <v>38</v>
      </c>
      <c r="J26" s="13" t="n">
        <f aca="false">0.08*C26</f>
        <v>1.6</v>
      </c>
      <c r="K26" s="0" t="n">
        <f aca="false">J26/$C$16</f>
        <v>0.2</v>
      </c>
      <c r="M26" s="0" t="s">
        <v>41</v>
      </c>
    </row>
    <row r="27" customFormat="false" ht="13.8" hidden="false" customHeight="false" outlineLevel="0" collapsed="false">
      <c r="A27" s="0" t="s">
        <v>42</v>
      </c>
      <c r="B27" s="16" t="s">
        <v>43</v>
      </c>
      <c r="C27" s="17" t="n">
        <f aca="false">$C$4</f>
        <v>1000</v>
      </c>
      <c r="D27" s="0" t="s">
        <v>44</v>
      </c>
      <c r="G27" s="13" t="n">
        <f aca="false">0.25*C27</f>
        <v>250</v>
      </c>
      <c r="H27" s="13" t="n">
        <f aca="false">ROUNDUP(G27/$C$16,-1)</f>
        <v>40</v>
      </c>
      <c r="I27" s="13" t="s">
        <v>36</v>
      </c>
      <c r="J27" s="13" t="n">
        <f aca="false">0.08*$C$27</f>
        <v>80</v>
      </c>
      <c r="K27" s="0" t="n">
        <f aca="false">J27/$C$16</f>
        <v>10</v>
      </c>
      <c r="M27" s="0" t="s">
        <v>45</v>
      </c>
    </row>
    <row r="28" customFormat="false" ht="13.8" hidden="false" customHeight="false" outlineLevel="0" collapsed="false">
      <c r="A28" s="0" t="s">
        <v>42</v>
      </c>
      <c r="B28" s="16" t="s">
        <v>46</v>
      </c>
      <c r="C28" s="17" t="n">
        <f aca="false">$C$4</f>
        <v>1000</v>
      </c>
      <c r="D28" s="0" t="s">
        <v>47</v>
      </c>
      <c r="G28" s="13" t="n">
        <f aca="false">4*0.08*C4</f>
        <v>320</v>
      </c>
      <c r="H28" s="13" t="n">
        <f aca="false">G28/$C$16</f>
        <v>40</v>
      </c>
      <c r="I28" s="13" t="s">
        <v>36</v>
      </c>
      <c r="J28" s="13" t="n">
        <f aca="false">0.08*$C$28</f>
        <v>80</v>
      </c>
      <c r="K28" s="0" t="n">
        <f aca="false">J28/$C$16</f>
        <v>10</v>
      </c>
      <c r="M28" s="0" t="s">
        <v>48</v>
      </c>
    </row>
    <row r="29" customFormat="false" ht="13.8" hidden="false" customHeight="false" outlineLevel="0" collapsed="false">
      <c r="B29" s="16" t="s">
        <v>49</v>
      </c>
      <c r="C29" s="17" t="n">
        <f aca="false">$C$4</f>
        <v>1000</v>
      </c>
      <c r="D29" s="0" t="s">
        <v>50</v>
      </c>
      <c r="G29" s="13" t="n">
        <f aca="false">0.5*C29</f>
        <v>500</v>
      </c>
      <c r="H29" s="13" t="n">
        <f aca="false">G29/$C$16</f>
        <v>62.5</v>
      </c>
      <c r="I29" s="13" t="s">
        <v>36</v>
      </c>
      <c r="J29" s="13" t="n">
        <f aca="false">0.08*$C$28</f>
        <v>80</v>
      </c>
      <c r="K29" s="0" t="n">
        <f aca="false">J29/$C$16</f>
        <v>10</v>
      </c>
      <c r="M29" s="0" t="s">
        <v>51</v>
      </c>
    </row>
    <row r="30" customFormat="false" ht="13.8" hidden="false" customHeight="false" outlineLevel="0" collapsed="false">
      <c r="B30" s="16" t="s">
        <v>52</v>
      </c>
      <c r="C30" s="17" t="n">
        <f aca="false">$C$4</f>
        <v>1000</v>
      </c>
      <c r="D30" s="0" t="s">
        <v>53</v>
      </c>
      <c r="G30" s="13" t="n">
        <f aca="false">0.5*C30</f>
        <v>500</v>
      </c>
      <c r="H30" s="13" t="n">
        <f aca="false">G30/$C$16</f>
        <v>62.5</v>
      </c>
      <c r="I30" s="13" t="s">
        <v>36</v>
      </c>
      <c r="J30" s="13" t="n">
        <f aca="false">0.08*$C$28</f>
        <v>80</v>
      </c>
      <c r="K30" s="0" t="n">
        <f aca="false">J30/$C$16</f>
        <v>10</v>
      </c>
      <c r="M30" s="0" t="s">
        <v>51</v>
      </c>
    </row>
    <row r="31" customFormat="false" ht="13.8" hidden="false" customHeight="false" outlineLevel="0" collapsed="false">
      <c r="B31" s="18" t="s">
        <v>54</v>
      </c>
      <c r="C31" s="17" t="n">
        <v>3</v>
      </c>
      <c r="D31" s="0" t="s">
        <v>55</v>
      </c>
      <c r="G31" s="13" t="n">
        <f aca="false">12*(C31*24)</f>
        <v>864</v>
      </c>
      <c r="H31" s="13" t="n">
        <f aca="false">G31/$C$16</f>
        <v>108</v>
      </c>
      <c r="I31" s="13" t="s">
        <v>36</v>
      </c>
      <c r="J31" s="13" t="n">
        <f aca="false">0.08*$C$28</f>
        <v>80</v>
      </c>
      <c r="K31" s="0" t="n">
        <f aca="false">J31/$C$16</f>
        <v>10</v>
      </c>
      <c r="M31" s="0" t="s">
        <v>51</v>
      </c>
    </row>
    <row r="32" customFormat="false" ht="13.8" hidden="false" customHeight="false" outlineLevel="0" collapsed="false">
      <c r="A32" s="0" t="n">
        <v>1</v>
      </c>
      <c r="B32" s="18" t="s">
        <v>56</v>
      </c>
      <c r="C32" s="17" t="n">
        <v>5</v>
      </c>
      <c r="D32" s="0" t="s">
        <v>57</v>
      </c>
      <c r="G32" s="13" t="n">
        <f aca="false">C32*4</f>
        <v>20</v>
      </c>
      <c r="H32" s="13" t="n">
        <f aca="false">G32/$C$16</f>
        <v>2.5</v>
      </c>
      <c r="I32" s="13" t="s">
        <v>38</v>
      </c>
      <c r="J32" s="13" t="n">
        <f aca="false">(C32/10*0.08)*12</f>
        <v>0.48</v>
      </c>
      <c r="K32" s="0" t="n">
        <f aca="false">J32/$C$16</f>
        <v>0.06</v>
      </c>
    </row>
    <row r="33" customFormat="false" ht="13.8" hidden="false" customHeight="false" outlineLevel="0" collapsed="false">
      <c r="A33" s="0" t="n">
        <v>3</v>
      </c>
      <c r="B33" s="18" t="s">
        <v>56</v>
      </c>
      <c r="C33" s="17" t="n">
        <v>5</v>
      </c>
      <c r="D33" s="0" t="s">
        <v>58</v>
      </c>
      <c r="G33" s="13" t="n">
        <f aca="false">C33*4</f>
        <v>20</v>
      </c>
      <c r="H33" s="13" t="n">
        <f aca="false">G33/$C$16</f>
        <v>2.5</v>
      </c>
      <c r="I33" s="13"/>
      <c r="J33" s="13" t="n">
        <f aca="false">((C33*D6)*0.1)*12</f>
        <v>3</v>
      </c>
      <c r="K33" s="0" t="n">
        <f aca="false">J33/$C$16</f>
        <v>0.375</v>
      </c>
    </row>
    <row r="34" customFormat="false" ht="13.8" hidden="false" customHeight="false" outlineLevel="0" collapsed="false">
      <c r="A34" s="0" t="n">
        <v>3</v>
      </c>
      <c r="B34" s="16" t="s">
        <v>4</v>
      </c>
      <c r="C34" s="17" t="n">
        <f aca="false">$C$5*D5</f>
        <v>375</v>
      </c>
      <c r="D34" s="0" t="s">
        <v>59</v>
      </c>
      <c r="G34" s="13" t="n">
        <f aca="false">4*C34</f>
        <v>1500</v>
      </c>
      <c r="H34" s="13" t="n">
        <f aca="false">ROUNDDOWN(G34/$C$16,-1)</f>
        <v>180</v>
      </c>
      <c r="I34" s="13"/>
      <c r="J34" s="13" t="n">
        <f aca="false">1*$C$34</f>
        <v>375</v>
      </c>
      <c r="K34" s="0" t="n">
        <f aca="false">J34/$C$16</f>
        <v>46.875</v>
      </c>
      <c r="M34" s="0" t="s">
        <v>60</v>
      </c>
    </row>
    <row r="35" customFormat="false" ht="13.8" hidden="false" customHeight="false" outlineLevel="0" collapsed="false">
      <c r="B35" s="16" t="s">
        <v>4</v>
      </c>
      <c r="C35" s="17" t="n">
        <f aca="false">$C$5*D5</f>
        <v>375</v>
      </c>
      <c r="D35" s="0" t="s">
        <v>61</v>
      </c>
      <c r="G35" s="13" t="n">
        <f aca="false">4*C35</f>
        <v>1500</v>
      </c>
      <c r="H35" s="13" t="n">
        <f aca="false">ROUNDDOWN(G35/$C$16,-1)</f>
        <v>180</v>
      </c>
      <c r="I35" s="13"/>
      <c r="J35" s="13" t="n">
        <f aca="false">0.5*$C$34</f>
        <v>187.5</v>
      </c>
      <c r="K35" s="0" t="n">
        <f aca="false">J35/$C$16</f>
        <v>23.4375</v>
      </c>
      <c r="M35" s="0" t="s">
        <v>62</v>
      </c>
    </row>
    <row r="36" customFormat="false" ht="13.8" hidden="false" customHeight="false" outlineLevel="0" collapsed="false">
      <c r="B36" s="18" t="s">
        <v>63</v>
      </c>
      <c r="C36" s="17" t="n">
        <v>4</v>
      </c>
      <c r="D36" s="0" t="s">
        <v>64</v>
      </c>
      <c r="G36" s="13" t="n">
        <f aca="false">C36*10*12</f>
        <v>480</v>
      </c>
      <c r="H36" s="13" t="n">
        <f aca="false">G36/$C$16</f>
        <v>60</v>
      </c>
      <c r="I36" s="13"/>
      <c r="J36" s="13"/>
    </row>
    <row r="37" customFormat="false" ht="13.8" hidden="false" customHeight="false" outlineLevel="0" collapsed="false">
      <c r="B37" s="18" t="s">
        <v>65</v>
      </c>
      <c r="C37" s="17" t="n">
        <v>2</v>
      </c>
      <c r="D37" s="0" t="s">
        <v>66</v>
      </c>
      <c r="G37" s="13" t="n">
        <f aca="false">C37*80</f>
        <v>160</v>
      </c>
      <c r="H37" s="13" t="n">
        <f aca="false">G37/$C$16</f>
        <v>20</v>
      </c>
      <c r="I37" s="13"/>
      <c r="J37" s="13" t="n">
        <f aca="false">C37*20</f>
        <v>40</v>
      </c>
      <c r="K37" s="0" t="n">
        <f aca="false">J37/$C$16</f>
        <v>5</v>
      </c>
    </row>
    <row r="38" customFormat="false" ht="13.8" hidden="false" customHeight="false" outlineLevel="0" collapsed="false">
      <c r="B38" s="19" t="s">
        <v>67</v>
      </c>
      <c r="C38" s="17" t="n">
        <v>2</v>
      </c>
      <c r="D38" s="0" t="s">
        <v>68</v>
      </c>
      <c r="G38" s="13" t="n">
        <f aca="false">C38*16*4</f>
        <v>128</v>
      </c>
      <c r="H38" s="13" t="n">
        <f aca="false">G38/$C$16</f>
        <v>16</v>
      </c>
      <c r="I38" s="13"/>
      <c r="J38" s="13" t="n">
        <f aca="false">C38*8</f>
        <v>16</v>
      </c>
      <c r="K38" s="0" t="n">
        <f aca="false">J38/$C$16</f>
        <v>2</v>
      </c>
    </row>
    <row r="39" customFormat="false" ht="13.8" hidden="false" customHeight="false" outlineLevel="0" collapsed="false">
      <c r="B39" s="19" t="s">
        <v>69</v>
      </c>
      <c r="C39" s="17"/>
      <c r="D39" s="0" t="s">
        <v>70</v>
      </c>
      <c r="G39" s="13" t="n">
        <f aca="false">C39*32*4</f>
        <v>0</v>
      </c>
      <c r="H39" s="13" t="n">
        <f aca="false">G39/$C$16</f>
        <v>0</v>
      </c>
      <c r="I39" s="13"/>
      <c r="J39" s="13" t="n">
        <f aca="false">C39*8</f>
        <v>0</v>
      </c>
      <c r="K39" s="0" t="n">
        <f aca="false">J39/$C$16</f>
        <v>0</v>
      </c>
    </row>
    <row r="40" customFormat="false" ht="13.8" hidden="false" customHeight="false" outlineLevel="0" collapsed="false">
      <c r="B40" s="19" t="s">
        <v>71</v>
      </c>
      <c r="C40" s="17" t="n">
        <v>2</v>
      </c>
      <c r="D40" s="0" t="s">
        <v>72</v>
      </c>
      <c r="G40" s="13" t="n">
        <f aca="false">C40*32*4</f>
        <v>256</v>
      </c>
      <c r="H40" s="13" t="n">
        <f aca="false">G40/$C$16</f>
        <v>32</v>
      </c>
      <c r="I40" s="13"/>
      <c r="J40" s="13" t="n">
        <f aca="false">C40*8</f>
        <v>16</v>
      </c>
      <c r="K40" s="0" t="n">
        <f aca="false">J40/$C$16</f>
        <v>2</v>
      </c>
    </row>
    <row r="41" customFormat="false" ht="13.8" hidden="false" customHeight="false" outlineLevel="0" collapsed="false">
      <c r="B41" s="19" t="s">
        <v>73</v>
      </c>
      <c r="C41" s="17" t="n">
        <f aca="false">C7</f>
        <v>4</v>
      </c>
      <c r="D41" s="0" t="s">
        <v>74</v>
      </c>
      <c r="G41" s="13" t="n">
        <f aca="false">4*C41</f>
        <v>16</v>
      </c>
      <c r="H41" s="13" t="n">
        <f aca="false">G41/$C$16</f>
        <v>2</v>
      </c>
      <c r="I41" s="13"/>
      <c r="J41" s="13" t="n">
        <f aca="false">C41*0.5</f>
        <v>2</v>
      </c>
      <c r="K41" s="0" t="n">
        <f aca="false">J41/$C$16</f>
        <v>0.25</v>
      </c>
    </row>
    <row r="42" customFormat="false" ht="13.8" hidden="false" customHeight="false" outlineLevel="0" collapsed="false">
      <c r="B42" s="19" t="s">
        <v>75</v>
      </c>
      <c r="C42" s="17" t="n">
        <f aca="false">C13</f>
        <v>1</v>
      </c>
      <c r="D42" s="0" t="s">
        <v>76</v>
      </c>
      <c r="G42" s="13" t="n">
        <f aca="false">3*C42*12</f>
        <v>36</v>
      </c>
      <c r="H42" s="13" t="n">
        <f aca="false">G42/$C$16</f>
        <v>4.5</v>
      </c>
      <c r="I42" s="13"/>
      <c r="J42" s="13" t="n">
        <f aca="false">C42*0.08*12</f>
        <v>0.96</v>
      </c>
      <c r="K42" s="0" t="n">
        <f aca="false">J42/$C$16</f>
        <v>0.12</v>
      </c>
    </row>
    <row r="43" customFormat="false" ht="13.8" hidden="false" customHeight="false" outlineLevel="0" collapsed="false">
      <c r="B43" s="19" t="s">
        <v>77</v>
      </c>
      <c r="C43" s="17" t="n">
        <v>5</v>
      </c>
      <c r="D43" s="0" t="s">
        <v>78</v>
      </c>
      <c r="G43" s="13" t="n">
        <f aca="false">C43*12*0.5</f>
        <v>30</v>
      </c>
      <c r="H43" s="13" t="n">
        <f aca="false">G43/$C$16</f>
        <v>3.75</v>
      </c>
      <c r="I43" s="13"/>
      <c r="J43" s="13"/>
    </row>
    <row r="44" customFormat="false" ht="13.8" hidden="false" customHeight="false" outlineLevel="0" collapsed="false">
      <c r="B44" s="19"/>
      <c r="C44" s="17"/>
      <c r="F44" s="0" t="s">
        <v>79</v>
      </c>
      <c r="G44" s="20" t="n">
        <f aca="false">SUM(G22:G43)</f>
        <v>23620</v>
      </c>
      <c r="H44" s="20"/>
      <c r="I44" s="20"/>
      <c r="J44" s="20" t="n">
        <f aca="false">SUM(J22:J42)</f>
        <v>4444.14</v>
      </c>
    </row>
    <row r="45" customFormat="false" ht="13.8" hidden="false" customHeight="false" outlineLevel="0" collapsed="false">
      <c r="F45" s="0" t="s">
        <v>80</v>
      </c>
      <c r="G45" s="0" t="n">
        <f aca="false">$G$44/C16</f>
        <v>2952.5</v>
      </c>
      <c r="H45" s="0" t="n">
        <f aca="false">SUM(H22:H43)</f>
        <v>2836.25</v>
      </c>
      <c r="J45" s="0" t="n">
        <f aca="false">$J$44/C16</f>
        <v>555.5175</v>
      </c>
      <c r="K45" s="0" t="n">
        <f aca="false">SUM(K22:K42)</f>
        <v>555.5175</v>
      </c>
    </row>
    <row r="46" customFormat="false" ht="13.8" hidden="false" customHeight="false" outlineLevel="0" collapsed="false">
      <c r="E46" s="14" t="s">
        <v>81</v>
      </c>
      <c r="F46" s="14" t="s">
        <v>82</v>
      </c>
      <c r="G46" s="14" t="n">
        <f aca="false">G45/C17</f>
        <v>13.4204545454545</v>
      </c>
      <c r="H46" s="14"/>
      <c r="I46" s="14"/>
      <c r="J46" s="14" t="n">
        <f aca="false">J45/C17</f>
        <v>2.52507954545455</v>
      </c>
    </row>
    <row r="48" customFormat="false" ht="15" hidden="false" customHeight="false" outlineLevel="0" collapsed="false"/>
    <row r="49" customFormat="false" ht="15" hidden="false" customHeight="false" outlineLevel="0" collapsed="false">
      <c r="F49" s="21" t="s">
        <v>83</v>
      </c>
      <c r="G49" s="22" t="n">
        <f aca="false">C15*G46</f>
        <v>671022.727272727</v>
      </c>
      <c r="H49" s="23"/>
      <c r="I49" s="23"/>
      <c r="J49" s="22" t="n">
        <f aca="false">C15*J46</f>
        <v>126253.977272727</v>
      </c>
    </row>
    <row r="51" customFormat="false" ht="15" hidden="false" customHeight="false" outlineLevel="0" collapsed="false"/>
    <row r="52" customFormat="false" ht="15" hidden="false" customHeight="false" outlineLevel="0" collapsed="false">
      <c r="H52" s="24" t="s">
        <v>84</v>
      </c>
      <c r="I52" s="25"/>
      <c r="J52" s="26" t="n">
        <f aca="false">ROUNDDOWN(G49-J49,-3)</f>
        <v>544000</v>
      </c>
    </row>
    <row r="58" customFormat="false" ht="14.25" hidden="false" customHeight="false" outlineLevel="0" collapsed="false">
      <c r="B58" s="0" t="s">
        <v>85</v>
      </c>
    </row>
    <row r="59" customFormat="false" ht="14.25" hidden="false" customHeight="false" outlineLevel="0" collapsed="false">
      <c r="B59" s="0" t="s">
        <v>86</v>
      </c>
    </row>
    <row r="60" customFormat="false" ht="14.25" hidden="false" customHeight="false" outlineLevel="0" collapsed="false">
      <c r="B60" s="0" t="s">
        <v>87</v>
      </c>
    </row>
    <row r="61" customFormat="false" ht="14.25" hidden="false" customHeight="false" outlineLevel="0" collapsed="false">
      <c r="B61" s="0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6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29" activeCellId="0" sqref="I29"/>
    </sheetView>
  </sheetViews>
  <sheetFormatPr defaultColWidth="8.54296875" defaultRowHeight="13.8" zeroHeight="false" outlineLevelRow="0" outlineLevelCol="0"/>
  <cols>
    <col collapsed="false" customWidth="true" hidden="false" outlineLevel="0" max="2" min="2" style="0" width="27"/>
    <col collapsed="false" customWidth="true" hidden="false" outlineLevel="0" max="3" min="3" style="0" width="12.45"/>
    <col collapsed="false" customWidth="true" hidden="false" outlineLevel="0" max="4" min="4" style="0" width="18.28"/>
    <col collapsed="false" customWidth="true" hidden="false" outlineLevel="0" max="5" min="5" style="0" width="42.92"/>
    <col collapsed="false" customWidth="true" hidden="false" outlineLevel="0" max="6" min="6" style="0" width="15.45"/>
    <col collapsed="false" customWidth="true" hidden="false" outlineLevel="0" max="7" min="7" style="0" width="19.18"/>
    <col collapsed="false" customWidth="true" hidden="false" outlineLevel="0" max="8" min="8" style="0" width="12.82"/>
    <col collapsed="false" customWidth="true" hidden="false" outlineLevel="0" max="9" min="9" style="0" width="14.72"/>
    <col collapsed="false" customWidth="true" hidden="false" outlineLevel="0" max="10" min="10" style="0" width="21"/>
    <col collapsed="false" customWidth="true" hidden="false" outlineLevel="0" max="11" min="11" style="0" width="16.54"/>
  </cols>
  <sheetData>
    <row r="2" customFormat="false" ht="13.8" hidden="false" customHeight="false" outlineLevel="0" collapsed="false">
      <c r="B2" s="1" t="s">
        <v>0</v>
      </c>
      <c r="C2" s="2" t="n">
        <v>5000</v>
      </c>
      <c r="D2" s="3" t="n">
        <v>0.35</v>
      </c>
      <c r="E2" s="0" t="s">
        <v>1</v>
      </c>
    </row>
    <row r="3" customFormat="false" ht="13.8" hidden="false" customHeight="false" outlineLevel="0" collapsed="false">
      <c r="B3" s="4" t="s">
        <v>2</v>
      </c>
      <c r="C3" s="5" t="n">
        <v>20</v>
      </c>
      <c r="D3" s="6"/>
    </row>
    <row r="4" customFormat="false" ht="13.8" hidden="false" customHeight="false" outlineLevel="0" collapsed="false">
      <c r="B4" s="4" t="s">
        <v>3</v>
      </c>
      <c r="C4" s="5" t="n">
        <v>1000</v>
      </c>
      <c r="D4" s="6"/>
    </row>
    <row r="5" customFormat="false" ht="13.8" hidden="false" customHeight="false" outlineLevel="0" collapsed="false">
      <c r="B5" s="4" t="s">
        <v>4</v>
      </c>
      <c r="C5" s="5" t="n">
        <v>500</v>
      </c>
      <c r="D5" s="7" t="n">
        <v>0.58</v>
      </c>
      <c r="E5" s="0" t="s">
        <v>5</v>
      </c>
    </row>
    <row r="6" customFormat="false" ht="13.8" hidden="false" customHeight="false" outlineLevel="0" collapsed="false">
      <c r="B6" s="8" t="s">
        <v>6</v>
      </c>
      <c r="C6" s="9" t="n">
        <v>50</v>
      </c>
      <c r="D6" s="7" t="n">
        <v>0.84</v>
      </c>
      <c r="E6" s="0" t="s">
        <v>7</v>
      </c>
    </row>
    <row r="7" customFormat="false" ht="13.8" hidden="false" customHeight="false" outlineLevel="0" collapsed="false">
      <c r="B7" s="8" t="s">
        <v>8</v>
      </c>
      <c r="C7" s="9" t="n">
        <v>4184</v>
      </c>
      <c r="D7" s="7"/>
    </row>
    <row r="8" customFormat="false" ht="13.8" hidden="false" customHeight="false" outlineLevel="0" collapsed="false">
      <c r="B8" s="8" t="s">
        <v>9</v>
      </c>
      <c r="C8" s="9" t="n">
        <v>100</v>
      </c>
      <c r="D8" s="7"/>
    </row>
    <row r="9" customFormat="false" ht="13.8" hidden="false" customHeight="false" outlineLevel="0" collapsed="false">
      <c r="B9" s="8" t="s">
        <v>10</v>
      </c>
      <c r="C9" s="9" t="n">
        <v>2</v>
      </c>
      <c r="D9" s="7"/>
    </row>
    <row r="10" customFormat="false" ht="13.8" hidden="false" customHeight="false" outlineLevel="0" collapsed="false">
      <c r="B10" s="8"/>
      <c r="C10" s="9"/>
      <c r="D10" s="7"/>
    </row>
    <row r="11" customFormat="false" ht="13.8" hidden="false" customHeight="false" outlineLevel="0" collapsed="false">
      <c r="B11" s="8" t="s">
        <v>11</v>
      </c>
      <c r="C11" s="9" t="n">
        <v>2</v>
      </c>
      <c r="D11" s="7"/>
    </row>
    <row r="12" customFormat="false" ht="13.8" hidden="false" customHeight="false" outlineLevel="0" collapsed="false">
      <c r="B12" s="8" t="s">
        <v>12</v>
      </c>
      <c r="C12" s="9" t="n">
        <v>2</v>
      </c>
      <c r="D12" s="7"/>
    </row>
    <row r="13" customFormat="false" ht="13.8" hidden="false" customHeight="false" outlineLevel="0" collapsed="false">
      <c r="B13" s="8" t="s">
        <v>13</v>
      </c>
      <c r="C13" s="9" t="n">
        <v>545</v>
      </c>
      <c r="D13" s="7"/>
    </row>
    <row r="14" customFormat="false" ht="13.8" hidden="false" customHeight="false" outlineLevel="0" collapsed="false">
      <c r="B14" s="8" t="s">
        <v>14</v>
      </c>
      <c r="C14" s="9" t="n">
        <v>2</v>
      </c>
      <c r="D14" s="7"/>
      <c r="E14" s="0" t="s">
        <v>15</v>
      </c>
    </row>
    <row r="15" customFormat="false" ht="13.8" hidden="false" customHeight="false" outlineLevel="0" collapsed="false">
      <c r="B15" s="8" t="s">
        <v>16</v>
      </c>
      <c r="C15" s="9" t="n">
        <v>34000</v>
      </c>
      <c r="D15" s="7"/>
    </row>
    <row r="16" customFormat="false" ht="13.8" hidden="false" customHeight="false" outlineLevel="0" collapsed="false">
      <c r="B16" s="8" t="s">
        <v>17</v>
      </c>
      <c r="C16" s="9" t="n">
        <v>35</v>
      </c>
      <c r="D16" s="6"/>
    </row>
    <row r="17" customFormat="false" ht="13.8" hidden="false" customHeight="false" outlineLevel="0" collapsed="false">
      <c r="B17" s="10" t="s">
        <v>18</v>
      </c>
      <c r="C17" s="11" t="n">
        <v>107</v>
      </c>
      <c r="D17" s="12"/>
    </row>
    <row r="18" customFormat="false" ht="13.8" hidden="false" customHeight="false" outlineLevel="0" collapsed="false">
      <c r="D18" s="13"/>
    </row>
    <row r="21" customFormat="false" ht="13.8" hidden="false" customHeight="false" outlineLevel="0" collapsed="false">
      <c r="A21" s="14" t="s">
        <v>19</v>
      </c>
      <c r="B21" s="14" t="s">
        <v>20</v>
      </c>
      <c r="C21" s="14" t="s">
        <v>21</v>
      </c>
      <c r="D21" s="14" t="s">
        <v>22</v>
      </c>
      <c r="E21" s="14"/>
      <c r="F21" s="14"/>
      <c r="G21" s="15" t="s">
        <v>23</v>
      </c>
      <c r="H21" s="15" t="s">
        <v>24</v>
      </c>
      <c r="I21" s="14" t="s">
        <v>25</v>
      </c>
      <c r="J21" s="15" t="s">
        <v>26</v>
      </c>
      <c r="K21" s="15" t="s">
        <v>27</v>
      </c>
    </row>
    <row r="22" customFormat="false" ht="14.9" hidden="false" customHeight="false" outlineLevel="0" collapsed="false">
      <c r="A22" s="0" t="n">
        <v>3</v>
      </c>
      <c r="B22" s="16" t="s">
        <v>28</v>
      </c>
      <c r="C22" s="17" t="n">
        <f aca="false">$C$2*D2</f>
        <v>1750</v>
      </c>
      <c r="D22" s="0" t="s">
        <v>29</v>
      </c>
      <c r="G22" s="13" t="n">
        <f aca="false">0.25*C22*12</f>
        <v>5250</v>
      </c>
      <c r="H22" s="13" t="n">
        <f aca="false">ROUNDDOWN(G22/$C$16,-2)</f>
        <v>100</v>
      </c>
      <c r="I22" s="15" t="s">
        <v>30</v>
      </c>
      <c r="J22" s="13" t="n">
        <f aca="false">0.05*C22*12</f>
        <v>1050</v>
      </c>
      <c r="K22" s="0" t="n">
        <f aca="false">J22/$C$16</f>
        <v>30</v>
      </c>
    </row>
    <row r="23" customFormat="false" ht="14.9" hidden="false" customHeight="false" outlineLevel="0" collapsed="false">
      <c r="A23" s="0" t="n">
        <v>3</v>
      </c>
      <c r="B23" s="16" t="s">
        <v>31</v>
      </c>
      <c r="C23" s="17" t="n">
        <f aca="false">$C$2*D2</f>
        <v>1750</v>
      </c>
      <c r="D23" s="0" t="s">
        <v>32</v>
      </c>
      <c r="G23" s="13" t="n">
        <f aca="false">0.08*C23*12</f>
        <v>1680</v>
      </c>
      <c r="H23" s="13" t="n">
        <f aca="false">ROUNDDOWN(G23/$C$16,-2)</f>
        <v>0</v>
      </c>
      <c r="I23" s="13" t="s">
        <v>33</v>
      </c>
      <c r="J23" s="13"/>
      <c r="K23" s="0" t="n">
        <f aca="false">J23/$C$16</f>
        <v>0</v>
      </c>
    </row>
    <row r="24" customFormat="false" ht="14.9" hidden="false" customHeight="false" outlineLevel="0" collapsed="false">
      <c r="A24" s="0" t="n">
        <v>3</v>
      </c>
      <c r="B24" s="16" t="s">
        <v>34</v>
      </c>
      <c r="C24" s="17" t="n">
        <f aca="false">$C$2</f>
        <v>5000</v>
      </c>
      <c r="D24" s="0" t="s">
        <v>35</v>
      </c>
      <c r="G24" s="13" t="n">
        <f aca="false">0.25*C24*4</f>
        <v>5000</v>
      </c>
      <c r="H24" s="13" t="n">
        <f aca="false">ROUNDDOWN(G24/$C$16,-2)</f>
        <v>100</v>
      </c>
      <c r="I24" s="13" t="s">
        <v>36</v>
      </c>
      <c r="J24" s="13" t="n">
        <f aca="false">0.08*C24*4</f>
        <v>1600</v>
      </c>
      <c r="K24" s="0" t="n">
        <f aca="false">J24/$C$16</f>
        <v>45.7142857142857</v>
      </c>
    </row>
    <row r="25" customFormat="false" ht="13.8" hidden="false" customHeight="false" outlineLevel="0" collapsed="false">
      <c r="B25" s="16" t="s">
        <v>2</v>
      </c>
      <c r="C25" s="17" t="n">
        <f aca="false">$C$3</f>
        <v>20</v>
      </c>
      <c r="D25" s="0" t="s">
        <v>37</v>
      </c>
      <c r="G25" s="13" t="n">
        <f aca="false">4*C25</f>
        <v>80</v>
      </c>
      <c r="H25" s="13" t="n">
        <f aca="false">G25/$C$16</f>
        <v>2.28571428571429</v>
      </c>
      <c r="I25" s="13" t="s">
        <v>38</v>
      </c>
      <c r="J25" s="13" t="n">
        <f aca="false">0.08*C25</f>
        <v>1.6</v>
      </c>
      <c r="K25" s="0" t="n">
        <f aca="false">J25/$C$16</f>
        <v>0.0457142857142857</v>
      </c>
      <c r="M25" s="0" t="s">
        <v>39</v>
      </c>
    </row>
    <row r="26" customFormat="false" ht="13.8" hidden="false" customHeight="false" outlineLevel="0" collapsed="false">
      <c r="B26" s="16" t="s">
        <v>2</v>
      </c>
      <c r="C26" s="17" t="n">
        <f aca="false">$C$3</f>
        <v>20</v>
      </c>
      <c r="D26" s="0" t="s">
        <v>40</v>
      </c>
      <c r="G26" s="13" t="n">
        <f aca="false">4*C26</f>
        <v>80</v>
      </c>
      <c r="H26" s="13" t="n">
        <f aca="false">G26/$C$16</f>
        <v>2.28571428571429</v>
      </c>
      <c r="I26" s="13" t="s">
        <v>38</v>
      </c>
      <c r="J26" s="13" t="n">
        <f aca="false">0.08*C26</f>
        <v>1.6</v>
      </c>
      <c r="K26" s="0" t="n">
        <f aca="false">J26/$C$16</f>
        <v>0.0457142857142857</v>
      </c>
      <c r="M26" s="0" t="s">
        <v>41</v>
      </c>
    </row>
    <row r="27" customFormat="false" ht="14.9" hidden="false" customHeight="false" outlineLevel="0" collapsed="false">
      <c r="A27" s="0" t="s">
        <v>42</v>
      </c>
      <c r="B27" s="16" t="s">
        <v>43</v>
      </c>
      <c r="C27" s="17" t="n">
        <f aca="false">$C$4</f>
        <v>1000</v>
      </c>
      <c r="D27" s="0" t="s">
        <v>44</v>
      </c>
      <c r="G27" s="13" t="n">
        <f aca="false">0.25*C27</f>
        <v>250</v>
      </c>
      <c r="H27" s="13" t="n">
        <f aca="false">ROUNDUP(G27/$C$16,-1)</f>
        <v>10</v>
      </c>
      <c r="I27" s="13" t="s">
        <v>36</v>
      </c>
      <c r="J27" s="13" t="n">
        <f aca="false">0.08*$C$27</f>
        <v>80</v>
      </c>
      <c r="K27" s="0" t="n">
        <f aca="false">J27/$C$16</f>
        <v>2.28571428571429</v>
      </c>
      <c r="M27" s="0" t="s">
        <v>45</v>
      </c>
    </row>
    <row r="28" customFormat="false" ht="14.9" hidden="false" customHeight="false" outlineLevel="0" collapsed="false">
      <c r="A28" s="0" t="s">
        <v>42</v>
      </c>
      <c r="B28" s="16" t="s">
        <v>46</v>
      </c>
      <c r="C28" s="17" t="n">
        <f aca="false">$C$4</f>
        <v>1000</v>
      </c>
      <c r="D28" s="0" t="s">
        <v>47</v>
      </c>
      <c r="G28" s="13" t="n">
        <f aca="false">4*0.08*C4</f>
        <v>320</v>
      </c>
      <c r="H28" s="13" t="n">
        <f aca="false">G28/$C$16</f>
        <v>9.14285714285714</v>
      </c>
      <c r="I28" s="13" t="s">
        <v>36</v>
      </c>
      <c r="J28" s="13" t="n">
        <f aca="false">0.08*$C$28</f>
        <v>80</v>
      </c>
      <c r="K28" s="0" t="n">
        <f aca="false">J28/$C$16</f>
        <v>2.28571428571429</v>
      </c>
      <c r="M28" s="0" t="s">
        <v>48</v>
      </c>
    </row>
    <row r="29" customFormat="false" ht="14.9" hidden="false" customHeight="false" outlineLevel="0" collapsed="false">
      <c r="B29" s="16" t="s">
        <v>49</v>
      </c>
      <c r="C29" s="17" t="n">
        <f aca="false">$C$4</f>
        <v>1000</v>
      </c>
      <c r="D29" s="0" t="s">
        <v>50</v>
      </c>
      <c r="G29" s="13" t="n">
        <f aca="false">0.5*C29</f>
        <v>500</v>
      </c>
      <c r="H29" s="13" t="n">
        <f aca="false">G29/$C$16</f>
        <v>14.2857142857143</v>
      </c>
      <c r="I29" s="13" t="s">
        <v>36</v>
      </c>
      <c r="J29" s="13" t="n">
        <f aca="false">0.08*$C$28</f>
        <v>80</v>
      </c>
      <c r="K29" s="0" t="n">
        <f aca="false">J29/$C$16</f>
        <v>2.28571428571429</v>
      </c>
      <c r="M29" s="0" t="s">
        <v>51</v>
      </c>
    </row>
    <row r="30" customFormat="false" ht="14.9" hidden="false" customHeight="false" outlineLevel="0" collapsed="false">
      <c r="B30" s="16" t="s">
        <v>52</v>
      </c>
      <c r="C30" s="17" t="n">
        <f aca="false">$C$4</f>
        <v>1000</v>
      </c>
      <c r="D30" s="0" t="s">
        <v>53</v>
      </c>
      <c r="G30" s="13" t="n">
        <f aca="false">0.5*C30</f>
        <v>500</v>
      </c>
      <c r="H30" s="13" t="n">
        <f aca="false">G30/$C$16</f>
        <v>14.2857142857143</v>
      </c>
      <c r="I30" s="13" t="s">
        <v>36</v>
      </c>
      <c r="J30" s="13" t="n">
        <f aca="false">0.08*$C$28</f>
        <v>80</v>
      </c>
      <c r="K30" s="0" t="n">
        <f aca="false">J30/$C$16</f>
        <v>2.28571428571429</v>
      </c>
      <c r="M30" s="0" t="s">
        <v>51</v>
      </c>
    </row>
    <row r="31" customFormat="false" ht="13.8" hidden="false" customHeight="false" outlineLevel="0" collapsed="false">
      <c r="B31" s="18" t="s">
        <v>54</v>
      </c>
      <c r="C31" s="17" t="n">
        <v>3</v>
      </c>
      <c r="D31" s="0" t="s">
        <v>55</v>
      </c>
      <c r="G31" s="13" t="n">
        <f aca="false">12*(C31*24)</f>
        <v>864</v>
      </c>
      <c r="H31" s="13" t="n">
        <f aca="false">G31/$C$16</f>
        <v>24.6857142857143</v>
      </c>
      <c r="I31" s="13" t="s">
        <v>36</v>
      </c>
      <c r="J31" s="13" t="n">
        <f aca="false">0.08*$C$28</f>
        <v>80</v>
      </c>
      <c r="K31" s="0" t="n">
        <f aca="false">J31/$C$16</f>
        <v>2.28571428571429</v>
      </c>
      <c r="M31" s="0" t="s">
        <v>51</v>
      </c>
    </row>
    <row r="32" customFormat="false" ht="13.8" hidden="false" customHeight="false" outlineLevel="0" collapsed="false">
      <c r="A32" s="0" t="n">
        <v>1</v>
      </c>
      <c r="B32" s="18" t="s">
        <v>56</v>
      </c>
      <c r="C32" s="17" t="n">
        <v>5</v>
      </c>
      <c r="D32" s="0" t="s">
        <v>57</v>
      </c>
      <c r="G32" s="13" t="n">
        <f aca="false">C32*4</f>
        <v>20</v>
      </c>
      <c r="H32" s="13" t="n">
        <f aca="false">G32/$C$16</f>
        <v>0.571428571428571</v>
      </c>
      <c r="I32" s="13" t="s">
        <v>38</v>
      </c>
      <c r="J32" s="13" t="n">
        <f aca="false">(C32/10*0.08)*12</f>
        <v>0.48</v>
      </c>
      <c r="K32" s="0" t="n">
        <f aca="false">J32/$C$16</f>
        <v>0.0137142857142857</v>
      </c>
    </row>
    <row r="33" customFormat="false" ht="13.8" hidden="false" customHeight="false" outlineLevel="0" collapsed="false">
      <c r="A33" s="0" t="n">
        <v>3</v>
      </c>
      <c r="B33" s="18" t="s">
        <v>56</v>
      </c>
      <c r="C33" s="17" t="n">
        <v>5</v>
      </c>
      <c r="D33" s="0" t="s">
        <v>58</v>
      </c>
      <c r="G33" s="13" t="n">
        <f aca="false">C33*4</f>
        <v>20</v>
      </c>
      <c r="H33" s="13" t="n">
        <f aca="false">G33/$C$16</f>
        <v>0.571428571428571</v>
      </c>
      <c r="I33" s="13"/>
      <c r="J33" s="13" t="n">
        <f aca="false">((C33*D6)*0.1)*12</f>
        <v>5.04</v>
      </c>
      <c r="K33" s="0" t="n">
        <f aca="false">J33/$C$16</f>
        <v>0.144</v>
      </c>
    </row>
    <row r="34" s="27" customFormat="true" ht="13.8" hidden="false" customHeight="false" outlineLevel="0" collapsed="false">
      <c r="A34" s="27" t="n">
        <v>3</v>
      </c>
      <c r="B34" s="28" t="s">
        <v>4</v>
      </c>
      <c r="C34" s="29" t="n">
        <f aca="false">$C$5*D5</f>
        <v>290</v>
      </c>
      <c r="D34" s="27" t="s">
        <v>59</v>
      </c>
      <c r="G34" s="30" t="n">
        <f aca="false">4*C34</f>
        <v>1160</v>
      </c>
      <c r="H34" s="30" t="n">
        <f aca="false">ROUNDDOWN(G34/$C$16,-1)</f>
        <v>30</v>
      </c>
      <c r="I34" s="30"/>
      <c r="J34" s="30" t="n">
        <f aca="false">1*$C$34</f>
        <v>290</v>
      </c>
      <c r="K34" s="27" t="n">
        <f aca="false">J34/$C$16</f>
        <v>8.28571428571429</v>
      </c>
      <c r="M34" s="27" t="s">
        <v>60</v>
      </c>
    </row>
    <row r="35" s="27" customFormat="true" ht="13.8" hidden="false" customHeight="false" outlineLevel="0" collapsed="false">
      <c r="B35" s="28" t="s">
        <v>4</v>
      </c>
      <c r="C35" s="29" t="n">
        <f aca="false">$C$5*D5</f>
        <v>290</v>
      </c>
      <c r="D35" s="27" t="s">
        <v>61</v>
      </c>
      <c r="G35" s="30" t="n">
        <f aca="false">4*C35</f>
        <v>1160</v>
      </c>
      <c r="H35" s="30" t="n">
        <f aca="false">ROUNDDOWN(G35/$C$16,-1)</f>
        <v>30</v>
      </c>
      <c r="I35" s="30"/>
      <c r="J35" s="30" t="n">
        <f aca="false">0.5*$C$34</f>
        <v>145</v>
      </c>
      <c r="K35" s="27" t="n">
        <f aca="false">J35/$C$16</f>
        <v>4.14285714285714</v>
      </c>
      <c r="M35" s="27" t="s">
        <v>62</v>
      </c>
    </row>
    <row r="36" customFormat="false" ht="13.8" hidden="false" customHeight="false" outlineLevel="0" collapsed="false">
      <c r="B36" s="18" t="s">
        <v>63</v>
      </c>
      <c r="C36" s="17" t="n">
        <v>4</v>
      </c>
      <c r="D36" s="0" t="s">
        <v>64</v>
      </c>
      <c r="G36" s="13" t="n">
        <f aca="false">C36*10*12</f>
        <v>480</v>
      </c>
      <c r="H36" s="13" t="n">
        <f aca="false">G36/$C$16</f>
        <v>13.7142857142857</v>
      </c>
      <c r="I36" s="13"/>
      <c r="J36" s="13"/>
    </row>
    <row r="37" customFormat="false" ht="13.8" hidden="false" customHeight="false" outlineLevel="0" collapsed="false">
      <c r="B37" s="18" t="s">
        <v>65</v>
      </c>
      <c r="C37" s="17" t="n">
        <v>2</v>
      </c>
      <c r="D37" s="0" t="s">
        <v>66</v>
      </c>
      <c r="G37" s="13" t="n">
        <f aca="false">C37*80</f>
        <v>160</v>
      </c>
      <c r="H37" s="13" t="n">
        <f aca="false">G37/$C$16</f>
        <v>4.57142857142857</v>
      </c>
      <c r="I37" s="13"/>
      <c r="J37" s="13" t="n">
        <f aca="false">C37*20</f>
        <v>40</v>
      </c>
      <c r="K37" s="0" t="n">
        <f aca="false">J37/$C$16</f>
        <v>1.14285714285714</v>
      </c>
    </row>
    <row r="38" customFormat="false" ht="13.8" hidden="false" customHeight="false" outlineLevel="0" collapsed="false">
      <c r="B38" s="19" t="s">
        <v>67</v>
      </c>
      <c r="C38" s="17" t="n">
        <v>2</v>
      </c>
      <c r="D38" s="0" t="s">
        <v>68</v>
      </c>
      <c r="G38" s="13" t="n">
        <f aca="false">C38*16*4</f>
        <v>128</v>
      </c>
      <c r="H38" s="13" t="n">
        <f aca="false">G38/$C$16</f>
        <v>3.65714285714286</v>
      </c>
      <c r="I38" s="13"/>
      <c r="J38" s="13" t="n">
        <f aca="false">C38*8</f>
        <v>16</v>
      </c>
      <c r="K38" s="0" t="n">
        <f aca="false">J38/$C$16</f>
        <v>0.457142857142857</v>
      </c>
    </row>
    <row r="39" customFormat="false" ht="13.8" hidden="false" customHeight="false" outlineLevel="0" collapsed="false">
      <c r="B39" s="19" t="s">
        <v>69</v>
      </c>
      <c r="C39" s="17" t="n">
        <v>35</v>
      </c>
      <c r="D39" s="0" t="s">
        <v>70</v>
      </c>
      <c r="G39" s="13" t="n">
        <f aca="false">C39*32*4</f>
        <v>4480</v>
      </c>
      <c r="H39" s="13" t="n">
        <f aca="false">G39/$C$16</f>
        <v>128</v>
      </c>
      <c r="I39" s="13"/>
      <c r="J39" s="13" t="n">
        <f aca="false">C39*8</f>
        <v>280</v>
      </c>
      <c r="K39" s="0" t="n">
        <f aca="false">J39/$C$16</f>
        <v>8</v>
      </c>
    </row>
    <row r="40" customFormat="false" ht="13.8" hidden="false" customHeight="false" outlineLevel="0" collapsed="false">
      <c r="B40" s="19" t="s">
        <v>71</v>
      </c>
      <c r="C40" s="17" t="n">
        <v>2</v>
      </c>
      <c r="D40" s="0" t="s">
        <v>72</v>
      </c>
      <c r="G40" s="13" t="n">
        <f aca="false">C40*32*4</f>
        <v>256</v>
      </c>
      <c r="H40" s="13" t="n">
        <f aca="false">G40/$C$16</f>
        <v>7.31428571428571</v>
      </c>
      <c r="I40" s="13"/>
      <c r="J40" s="13" t="n">
        <f aca="false">C40*8</f>
        <v>16</v>
      </c>
      <c r="K40" s="0" t="n">
        <f aca="false">J40/$C$16</f>
        <v>0.457142857142857</v>
      </c>
    </row>
    <row r="41" customFormat="false" ht="13.8" hidden="false" customHeight="false" outlineLevel="0" collapsed="false">
      <c r="B41" s="19" t="s">
        <v>73</v>
      </c>
      <c r="C41" s="17" t="n">
        <f aca="false">C7</f>
        <v>4184</v>
      </c>
      <c r="D41" s="0" t="s">
        <v>74</v>
      </c>
      <c r="G41" s="13" t="n">
        <f aca="false">4*C41</f>
        <v>16736</v>
      </c>
      <c r="H41" s="13" t="n">
        <f aca="false">G41/$C$16</f>
        <v>478.171428571429</v>
      </c>
      <c r="I41" s="13"/>
      <c r="J41" s="13" t="n">
        <f aca="false">C41*0.5</f>
        <v>2092</v>
      </c>
      <c r="K41" s="0" t="n">
        <f aca="false">J41/$C$16</f>
        <v>59.7714285714286</v>
      </c>
    </row>
    <row r="42" customFormat="false" ht="13.8" hidden="false" customHeight="false" outlineLevel="0" collapsed="false">
      <c r="B42" s="19" t="s">
        <v>75</v>
      </c>
      <c r="C42" s="17" t="n">
        <f aca="false">C13</f>
        <v>545</v>
      </c>
      <c r="D42" s="0" t="s">
        <v>76</v>
      </c>
      <c r="G42" s="13" t="n">
        <f aca="false">3*C42*12</f>
        <v>19620</v>
      </c>
      <c r="H42" s="13" t="n">
        <f aca="false">G42/$C$16</f>
        <v>560.571428571429</v>
      </c>
      <c r="I42" s="13"/>
      <c r="J42" s="13" t="n">
        <f aca="false">C42*0.08*12</f>
        <v>523.2</v>
      </c>
      <c r="K42" s="0" t="n">
        <f aca="false">J42/$C$16</f>
        <v>14.9485714285714</v>
      </c>
    </row>
    <row r="43" customFormat="false" ht="13.8" hidden="false" customHeight="false" outlineLevel="0" collapsed="false">
      <c r="B43" s="19" t="s">
        <v>77</v>
      </c>
      <c r="C43" s="17" t="n">
        <v>5</v>
      </c>
      <c r="D43" s="0" t="s">
        <v>78</v>
      </c>
      <c r="G43" s="13" t="n">
        <f aca="false">C43*12*0.5</f>
        <v>30</v>
      </c>
      <c r="H43" s="13" t="n">
        <f aca="false">G43/$C$16</f>
        <v>0.857142857142857</v>
      </c>
      <c r="I43" s="13"/>
      <c r="J43" s="13"/>
    </row>
    <row r="44" customFormat="false" ht="13.8" hidden="false" customHeight="false" outlineLevel="0" collapsed="false">
      <c r="B44" s="19"/>
      <c r="C44" s="17"/>
      <c r="F44" s="0" t="s">
        <v>79</v>
      </c>
      <c r="G44" s="20" t="n">
        <f aca="false">SUM(G22:G43)</f>
        <v>58774</v>
      </c>
      <c r="H44" s="20"/>
      <c r="I44" s="20"/>
      <c r="J44" s="20" t="n">
        <f aca="false">SUM(J22:J42)</f>
        <v>6460.92</v>
      </c>
    </row>
    <row r="45" customFormat="false" ht="13.8" hidden="false" customHeight="false" outlineLevel="0" collapsed="false">
      <c r="F45" s="0" t="s">
        <v>80</v>
      </c>
      <c r="G45" s="0" t="n">
        <f aca="false">$G$44/C16</f>
        <v>1679.25714285714</v>
      </c>
      <c r="H45" s="0" t="n">
        <f aca="false">SUM(H22:H43)</f>
        <v>1534.97142857143</v>
      </c>
      <c r="J45" s="0" t="n">
        <f aca="false">$J$44/C16</f>
        <v>184.597714285714</v>
      </c>
      <c r="K45" s="0" t="n">
        <f aca="false">SUM(K22:K42)</f>
        <v>184.597714285714</v>
      </c>
    </row>
    <row r="46" customFormat="false" ht="13.8" hidden="false" customHeight="false" outlineLevel="0" collapsed="false">
      <c r="E46" s="14" t="s">
        <v>81</v>
      </c>
      <c r="F46" s="14" t="s">
        <v>82</v>
      </c>
      <c r="G46" s="14" t="n">
        <f aca="false">G45/C17</f>
        <v>15.6939919893191</v>
      </c>
      <c r="H46" s="14"/>
      <c r="I46" s="14"/>
      <c r="J46" s="14" t="n">
        <f aca="false">J45/C17</f>
        <v>1.72521228304406</v>
      </c>
    </row>
    <row r="49" customFormat="false" ht="13.8" hidden="false" customHeight="false" outlineLevel="0" collapsed="false">
      <c r="F49" s="21" t="s">
        <v>83</v>
      </c>
      <c r="G49" s="22" t="n">
        <f aca="false">C15*G46</f>
        <v>533595.727636849</v>
      </c>
      <c r="H49" s="23"/>
      <c r="I49" s="23"/>
      <c r="J49" s="22" t="n">
        <f aca="false">C15*J46</f>
        <v>58657.217623498</v>
      </c>
    </row>
    <row r="52" customFormat="false" ht="13.8" hidden="false" customHeight="false" outlineLevel="0" collapsed="false">
      <c r="H52" s="24" t="s">
        <v>84</v>
      </c>
      <c r="I52" s="25"/>
      <c r="J52" s="26" t="n">
        <f aca="false">ROUNDDOWN(G49-J49,-3)</f>
        <v>474000</v>
      </c>
    </row>
    <row r="58" customFormat="false" ht="13.8" hidden="false" customHeight="false" outlineLevel="0" collapsed="false">
      <c r="B58" s="0" t="s">
        <v>85</v>
      </c>
    </row>
    <row r="59" customFormat="false" ht="13.8" hidden="false" customHeight="false" outlineLevel="0" collapsed="false">
      <c r="B59" s="0" t="s">
        <v>86</v>
      </c>
    </row>
    <row r="60" customFormat="false" ht="13.8" hidden="false" customHeight="false" outlineLevel="0" collapsed="false">
      <c r="B60" s="0" t="s">
        <v>87</v>
      </c>
    </row>
    <row r="61" customFormat="false" ht="13.8" hidden="false" customHeight="false" outlineLevel="0" collapsed="false">
      <c r="B61" s="0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2025-03-06T12:59:52Z</dcterms:created>
  <dc:creator>adrian smith</dc:creator>
  <dc:description/>
  <dc:language>en-IN</dc:language>
  <cp:lastModifiedBy/>
  <dcterms:modified xsi:type="dcterms:W3CDTF">2025-05-21T10:00:33Z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